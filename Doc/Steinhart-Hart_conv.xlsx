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<sst xmlns="http://schemas.openxmlformats.org/spreadsheetml/2006/main" count="37" uniqueCount="30">
  <si>
    <t xml:space="preserve">Thermistor</t>
  </si>
  <si>
    <t xml:space="preserve">Resistance</t>
  </si>
  <si>
    <t xml:space="preserve">kΩ</t>
  </si>
  <si>
    <t xml:space="preserve">Temperature</t>
  </si>
  <si>
    <t xml:space="preserve">*K</t>
  </si>
  <si>
    <t xml:space="preserve">ADC</t>
  </si>
  <si>
    <t xml:space="preserve">Max</t>
  </si>
  <si>
    <t xml:space="preserve">R1</t>
  </si>
  <si>
    <t xml:space="preserve">T1</t>
  </si>
  <si>
    <t xml:space="preserve">R2</t>
  </si>
  <si>
    <t xml:space="preserve">T2</t>
  </si>
  <si>
    <t xml:space="preserve">R3</t>
  </si>
  <si>
    <t xml:space="preserve">T3</t>
  </si>
  <si>
    <t xml:space="preserve">Coefficients</t>
  </si>
  <si>
    <t xml:space="preserve">Basing Res.</t>
  </si>
  <si>
    <t xml:space="preserve">A</t>
  </si>
  <si>
    <t xml:space="preserve">L1</t>
  </si>
  <si>
    <t xml:space="preserve">B</t>
  </si>
  <si>
    <t xml:space="preserve">L2</t>
  </si>
  <si>
    <t xml:space="preserve">C</t>
  </si>
  <si>
    <t xml:space="preserve">L3</t>
  </si>
  <si>
    <t xml:space="preserve">Y1</t>
  </si>
  <si>
    <t xml:space="preserve">γ2</t>
  </si>
  <si>
    <t xml:space="preserve">Y2</t>
  </si>
  <si>
    <t xml:space="preserve">γ3</t>
  </si>
  <si>
    <t xml:space="preserve">Y3</t>
  </si>
  <si>
    <t xml:space="preserve">*C</t>
  </si>
  <si>
    <t xml:space="preserve">x</t>
  </si>
  <si>
    <t xml:space="preserve">y</t>
  </si>
  <si>
    <t xml:space="preserve">step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</si>
</sst>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00000"/>
    <numFmt numFmtId="166" formatCode="#,##0.000"/>
    <numFmt numFmtId="167" formatCode="#,##0.000000"/>
    <numFmt numFmtId="168" formatCode="#,##0.0"/>
    <numFmt numFmtId="169" formatCode="#,##0.00"/>
    <numFmt numFmtId="170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1.53515625" defaultRowHeight="12.8" customHeight="true" zeroHeight="false" outlineLevelRow="0" outlineLevelCol="0"/>
  <sheetData>
    <row r="2" customFormat="false" ht="12.8" hidden="false" customHeight="false" outlineLevel="0" collapsed="false">
      <c r="B2" s="0" t="s">
        <v>0</v>
      </c>
    </row>
    <row r="4" customFormat="false" ht="12.8" hidden="false" customHeight="false" outlineLevel="0" collapsed="false">
      <c r="B4" s="1" t="s">
        <v>1</v>
      </c>
      <c r="C4" s="2" t="s">
        <v>2</v>
      </c>
      <c r="D4" s="3" t="s">
        <v>3</v>
      </c>
      <c r="E4" s="4" t="s">
        <v>4</v>
      </c>
      <c r="G4" s="5" t="s">
        <v>5</v>
      </c>
      <c r="H4" s="6" t="s">
        <v>6</v>
      </c>
    </row>
    <row r="5" customFormat="false" ht="12.8" hidden="false" customHeight="false" outlineLevel="0" collapsed="false">
      <c r="B5" s="7" t="s">
        <v>7</v>
      </c>
      <c r="C5" s="8" t="n">
        <v>195.652</v>
      </c>
      <c r="D5" s="0" t="s">
        <v>8</v>
      </c>
      <c r="E5" s="8" t="n">
        <v>233.15</v>
      </c>
      <c r="G5" s="9"/>
      <c r="H5" s="10" t="n">
        <v>4095</v>
      </c>
    </row>
    <row r="6" customFormat="false" ht="12.8" hidden="false" customHeight="false" outlineLevel="0" collapsed="false">
      <c r="B6" s="7" t="s">
        <v>9</v>
      </c>
      <c r="C6" s="8" t="n">
        <v>10</v>
      </c>
      <c r="D6" s="0" t="s">
        <v>10</v>
      </c>
      <c r="E6" s="8" t="n">
        <v>298.15</v>
      </c>
    </row>
    <row r="7" customFormat="false" ht="12.8" hidden="false" customHeight="false" outlineLevel="0" collapsed="false">
      <c r="B7" s="9" t="s">
        <v>11</v>
      </c>
      <c r="C7" s="10" t="n">
        <v>0.596</v>
      </c>
      <c r="D7" s="11" t="s">
        <v>12</v>
      </c>
      <c r="E7" s="10" t="n">
        <v>393.15</v>
      </c>
    </row>
    <row r="10" customFormat="false" ht="13.8" hidden="false" customHeight="false" outlineLevel="0" collapsed="false">
      <c r="B10" s="0" t="s">
        <v>13</v>
      </c>
      <c r="G10" s="5" t="s">
        <v>14</v>
      </c>
      <c r="H10" s="12" t="s">
        <v>2</v>
      </c>
    </row>
    <row r="11" customFormat="false" ht="12.8" hidden="false" customHeight="false" outlineLevel="0" collapsed="false">
      <c r="G11" s="9"/>
      <c r="H11" s="10" t="n">
        <v>10</v>
      </c>
    </row>
    <row r="12" customFormat="false" ht="12.8" hidden="false" customHeight="false" outlineLevel="0" collapsed="false">
      <c r="B12" s="5" t="s">
        <v>15</v>
      </c>
      <c r="C12" s="13" t="n">
        <f aca="false">C17-E12*(C13+(E12^2)*C14)</f>
        <v>0.000861400768070164</v>
      </c>
      <c r="D12" s="5" t="s">
        <v>16</v>
      </c>
      <c r="E12" s="14" t="n">
        <f aca="false">LN(C5*1000)</f>
        <v>12.1840928499221</v>
      </c>
    </row>
    <row r="13" customFormat="false" ht="12.8" hidden="false" customHeight="false" outlineLevel="0" collapsed="false">
      <c r="B13" s="7" t="s">
        <v>17</v>
      </c>
      <c r="C13" s="15" t="n">
        <f aca="false">E17-C14*((E12^2)+(E12*E13)+(E13^2))</f>
        <v>0.000256375854719806</v>
      </c>
      <c r="D13" s="7" t="s">
        <v>18</v>
      </c>
      <c r="E13" s="16" t="n">
        <f aca="false">LN(C6*1000)</f>
        <v>9.21034037197618</v>
      </c>
    </row>
    <row r="14" customFormat="false" ht="12.8" hidden="false" customHeight="false" outlineLevel="0" collapsed="false">
      <c r="B14" s="9" t="s">
        <v>19</v>
      </c>
      <c r="C14" s="17" t="n">
        <f aca="false">((E18-E17)/(E14-E13))*(1/(E12+E13+E14))</f>
        <v>1.68058358084029E-007</v>
      </c>
      <c r="D14" s="9" t="s">
        <v>20</v>
      </c>
      <c r="E14" s="18" t="n">
        <f aca="false">LN(C7*1000)</f>
        <v>6.39024066706535</v>
      </c>
    </row>
    <row r="15" customFormat="false" ht="12.8" hidden="false" customHeight="false" outlineLevel="0" collapsed="false">
      <c r="B15" s="7"/>
      <c r="E15" s="19"/>
    </row>
    <row r="16" customFormat="false" ht="12.8" hidden="false" customHeight="false" outlineLevel="0" collapsed="false">
      <c r="B16" s="7"/>
      <c r="E16" s="19"/>
    </row>
    <row r="17" customFormat="false" ht="13.8" hidden="false" customHeight="false" outlineLevel="0" collapsed="false">
      <c r="B17" s="5" t="s">
        <v>21</v>
      </c>
      <c r="C17" s="20" t="n">
        <f aca="false">1/E5</f>
        <v>0.00428908428050611</v>
      </c>
      <c r="D17" s="21" t="s">
        <v>22</v>
      </c>
      <c r="E17" s="22" t="n">
        <f aca="false">(C18-C17)/(E13-E12)</f>
        <v>0.00031444037550545</v>
      </c>
    </row>
    <row r="18" customFormat="false" ht="13.8" hidden="false" customHeight="false" outlineLevel="0" collapsed="false">
      <c r="B18" s="7" t="s">
        <v>23</v>
      </c>
      <c r="C18" s="8" t="n">
        <f aca="false">1/E6</f>
        <v>0.00335401643468053</v>
      </c>
      <c r="D18" s="23" t="s">
        <v>24</v>
      </c>
      <c r="E18" s="24" t="n">
        <f aca="false">(C19-C17)/(E14-E12)</f>
        <v>0.00030127207031891</v>
      </c>
    </row>
    <row r="19" customFormat="false" ht="12.8" hidden="false" customHeight="false" outlineLevel="0" collapsed="false">
      <c r="B19" s="9" t="s">
        <v>25</v>
      </c>
      <c r="C19" s="10" t="n">
        <f aca="false">1/E7</f>
        <v>0.00254355843825512</v>
      </c>
      <c r="D19" s="11"/>
      <c r="E19" s="25"/>
    </row>
    <row r="22" customFormat="false" ht="12.8" hidden="false" customHeight="false" outlineLevel="0" collapsed="false">
      <c r="B22" s="5" t="s">
        <v>1</v>
      </c>
      <c r="C22" s="26" t="s">
        <v>3</v>
      </c>
      <c r="D22" s="26"/>
      <c r="E22" s="26" t="s">
        <v>13</v>
      </c>
      <c r="F22" s="26"/>
      <c r="G22" s="20" t="s">
        <v>5</v>
      </c>
    </row>
    <row r="23" customFormat="false" ht="13.8" hidden="false" customHeight="false" outlineLevel="0" collapsed="false">
      <c r="B23" s="27" t="s">
        <v>2</v>
      </c>
      <c r="C23" s="28" t="s">
        <v>26</v>
      </c>
      <c r="D23" s="10" t="s">
        <v>4</v>
      </c>
      <c r="E23" s="28" t="s">
        <v>27</v>
      </c>
      <c r="F23" s="10" t="s">
        <v>28</v>
      </c>
      <c r="G23" s="10" t="s">
        <v>29</v>
      </c>
    </row>
    <row r="24" customFormat="false" ht="12.8" hidden="false" customHeight="false" outlineLevel="0" collapsed="false">
      <c r="B24" s="29" t="n">
        <f aca="false">=EXP(((F24-(E24/2))^(1/3))-((F24+(E24/2))^(1/3)))/1000</f>
        <v>195.652</v>
      </c>
      <c r="C24" s="30" t="n">
        <v>-40</v>
      </c>
      <c r="D24" s="8" t="n">
        <f aca="false">C24+273.15</f>
        <v>233.15</v>
      </c>
      <c r="E24" s="31" t="n">
        <f aca="false">(1/$C$14)*($C$12-(1/D24))</f>
        <v>-20395.7931727627</v>
      </c>
      <c r="F24" s="32" t="n">
        <f aca="false">SQRT((($C$13/(3*$C$14))^3)+(E24^2)/4)</f>
        <v>15345.5347685042</v>
      </c>
      <c r="G24" s="33" t="n">
        <f aca="false">($H$5*$H$11)/($H$11+B24)</f>
        <v>199.122789955847</v>
      </c>
    </row>
    <row r="25" customFormat="false" ht="12.8" hidden="false" customHeight="false" outlineLevel="0" collapsed="false">
      <c r="B25" s="29" t="n">
        <f aca="false">=EXP(((F25-(E25/2))^(1/3))-((F25+(E25/2))^(1/3)))/1000</f>
        <v>170.478420491285</v>
      </c>
      <c r="C25" s="30" t="n">
        <v>-37.5</v>
      </c>
      <c r="D25" s="8" t="n">
        <f aca="false">C25+273.15</f>
        <v>235.65</v>
      </c>
      <c r="E25" s="31" t="n">
        <f aca="false">(1/$C$14)*($C$12-(1/D25))</f>
        <v>-20125.0378341474</v>
      </c>
      <c r="F25" s="32" t="n">
        <f aca="false">SQRT((($C$13/(3*$C$14))^3)+(E25^2)/4)</f>
        <v>15255.9047421419</v>
      </c>
      <c r="G25" s="33" t="n">
        <f aca="false">($H$5*$H$11)/($H$11+B25)</f>
        <v>226.896932544782</v>
      </c>
    </row>
    <row r="26" customFormat="false" ht="12.8" hidden="false" customHeight="false" outlineLevel="0" collapsed="false">
      <c r="B26" s="29" t="n">
        <f aca="false">=EXP(((F26-(E26/2))^(1/3))-((F26+(E26/2))^(1/3)))/1000</f>
        <v>148.872575179047</v>
      </c>
      <c r="C26" s="30" t="n">
        <v>-35</v>
      </c>
      <c r="D26" s="8" t="n">
        <f aca="false">C26+273.15</f>
        <v>238.15</v>
      </c>
      <c r="E26" s="31" t="n">
        <f aca="false">(1/$C$14)*($C$12-(1/D26))</f>
        <v>-19859.9670501954</v>
      </c>
      <c r="F26" s="32" t="n">
        <f aca="false">SQRT((($C$13/(3*$C$14))^3)+(E26^2)/4)</f>
        <v>15168.8139072755</v>
      </c>
      <c r="G26" s="33" t="n">
        <f aca="false">($H$5*$H$11)/($H$11+B26)</f>
        <v>257.753737256729</v>
      </c>
    </row>
    <row r="27" customFormat="false" ht="12.8" hidden="false" customHeight="false" outlineLevel="0" collapsed="false">
      <c r="B27" s="29" t="n">
        <f aca="false">=EXP(((F27-(E27/2))^(1/3))-((F27+(E27/2))^(1/3)))/1000</f>
        <v>130.286170702992</v>
      </c>
      <c r="C27" s="30" t="n">
        <v>-32.5</v>
      </c>
      <c r="D27" s="8" t="n">
        <f aca="false">C27+273.15</f>
        <v>240.65</v>
      </c>
      <c r="E27" s="31" t="n">
        <f aca="false">(1/$C$14)*($C$12-(1/D27))</f>
        <v>-19600.4036583887</v>
      </c>
      <c r="F27" s="32" t="n">
        <f aca="false">SQRT((($C$13/(3*$C$14))^3)+(E27^2)/4)</f>
        <v>15084.1737737864</v>
      </c>
      <c r="G27" s="33" t="n">
        <f aca="false">($H$5*$H$11)/($H$11+B27)</f>
        <v>291.903327283041</v>
      </c>
    </row>
    <row r="28" customFormat="false" ht="12.8" hidden="false" customHeight="false" outlineLevel="0" collapsed="false">
      <c r="B28" s="29" t="n">
        <f aca="false">=EXP(((F28-(E28/2))^(1/3))-((F28+(E28/2))^(1/3)))/1000</f>
        <v>114.261282979051</v>
      </c>
      <c r="C28" s="30" t="n">
        <v>-30</v>
      </c>
      <c r="D28" s="8" t="n">
        <f aca="false">C28+273.15</f>
        <v>243.15</v>
      </c>
      <c r="E28" s="31" t="n">
        <f aca="false">(1/$C$14)*($C$12-(1/D28))</f>
        <v>-19346.1777823501</v>
      </c>
      <c r="F28" s="32" t="n">
        <f aca="false">SQRT((($C$13/(3*$C$14))^3)+(E28^2)/4)</f>
        <v>15001.8995877661</v>
      </c>
      <c r="G28" s="33" t="n">
        <f aca="false">($H$5*$H$11)/($H$11+B28)</f>
        <v>329.547539010229</v>
      </c>
    </row>
    <row r="29" customFormat="false" ht="12.8" hidden="false" customHeight="false" outlineLevel="0" collapsed="false">
      <c r="B29" s="29" t="n">
        <f aca="false">=EXP(((F29-(E29/2))^(1/3))-((F29+(E29/2))^(1/3)))/1000</f>
        <v>100.414514396173</v>
      </c>
      <c r="C29" s="30" t="n">
        <v>-27.5</v>
      </c>
      <c r="D29" s="8" t="n">
        <f aca="false">C29+273.15</f>
        <v>245.65</v>
      </c>
      <c r="E29" s="31" t="n">
        <f aca="false">(1/$C$14)*($C$12-(1/D29))</f>
        <v>-19097.1264610854</v>
      </c>
      <c r="F29" s="32" t="n">
        <f aca="false">SQRT((($C$13/(3*$C$14))^3)+(E29^2)/4)</f>
        <v>14921.910142891</v>
      </c>
      <c r="G29" s="33" t="n">
        <f aca="false">($H$5*$H$11)/($H$11+B29)</f>
        <v>370.875153723625</v>
      </c>
    </row>
    <row r="30" customFormat="false" ht="12.8" hidden="false" customHeight="false" outlineLevel="0" collapsed="false">
      <c r="B30" s="29" t="n">
        <f aca="false">=EXP(((F30-(E30/2))^(1/3))-((F30+(E30/2))^(1/3)))/1000</f>
        <v>88.4240862649694</v>
      </c>
      <c r="C30" s="30" t="n">
        <v>-25</v>
      </c>
      <c r="D30" s="8" t="n">
        <f aca="false">C30+273.15</f>
        <v>248.15</v>
      </c>
      <c r="E30" s="31" t="n">
        <f aca="false">(1/$C$14)*($C$12-(1/D30))</f>
        <v>-18853.093300636</v>
      </c>
      <c r="F30" s="32" t="n">
        <f aca="false">SQRT((($C$13/(3*$C$14))^3)+(E30^2)/4)</f>
        <v>14844.1276030444</v>
      </c>
      <c r="G30" s="33" t="n">
        <f aca="false">($H$5*$H$11)/($H$11+B30)</f>
        <v>416.056694595647</v>
      </c>
    </row>
    <row r="31" customFormat="false" ht="12.8" hidden="false" customHeight="false" outlineLevel="0" collapsed="false">
      <c r="B31" s="29" t="n">
        <f aca="false">=EXP(((F31-(E31/2))^(1/3))-((F31+(E31/2))^(1/3)))/1000</f>
        <v>78.0192947735601</v>
      </c>
      <c r="C31" s="30" t="n">
        <v>-22.5</v>
      </c>
      <c r="D31" s="8" t="n">
        <f aca="false">C31+273.15</f>
        <v>250.65</v>
      </c>
      <c r="E31" s="31" t="n">
        <f aca="false">(1/$C$14)*($C$12-(1/D31))</f>
        <v>-18613.928146579</v>
      </c>
      <c r="F31" s="32" t="n">
        <f aca="false">SQRT((($C$13/(3*$C$14))^3)+(E31^2)/4)</f>
        <v>14768.4773354041</v>
      </c>
      <c r="G31" s="33" t="n">
        <f aca="false">($H$5*$H$11)/($H$11+B31)</f>
        <v>465.238901372121</v>
      </c>
    </row>
    <row r="32" customFormat="false" ht="12.8" hidden="false" customHeight="false" outlineLevel="0" collapsed="false">
      <c r="B32" s="29" t="n">
        <f aca="false">=EXP(((F32-(E32/2))^(1/3))-((F32+(E32/2))^(1/3)))/1000</f>
        <v>68.9718752894628</v>
      </c>
      <c r="C32" s="30" t="n">
        <v>-20</v>
      </c>
      <c r="D32" s="8" t="n">
        <f aca="false">C32+273.15</f>
        <v>253.15</v>
      </c>
      <c r="E32" s="31" t="n">
        <f aca="false">(1/$C$14)*($C$12-(1/D32))</f>
        <v>-18379.4867759321</v>
      </c>
      <c r="F32" s="32" t="n">
        <f aca="false">SQRT((($C$13/(3*$C$14))^3)+(E32^2)/4)</f>
        <v>14694.8877532803</v>
      </c>
      <c r="G32" s="33" t="n">
        <f aca="false">($H$5*$H$11)/($H$11+B32)</f>
        <v>518.539034939999</v>
      </c>
    </row>
    <row r="33" customFormat="false" ht="12.8" hidden="false" customHeight="false" outlineLevel="0" collapsed="false">
      <c r="B33" s="29" t="n">
        <f aca="false">=EXP(((F33-(E33/2))^(1/3))-((F33+(E33/2))^(1/3)))/1000</f>
        <v>61.0889116339429</v>
      </c>
      <c r="C33" s="30" t="n">
        <v>-17.5</v>
      </c>
      <c r="D33" s="8" t="n">
        <f aca="false">C33+273.15</f>
        <v>255.65</v>
      </c>
      <c r="E33" s="31" t="n">
        <f aca="false">(1/$C$14)*($C$12-(1/D33))</f>
        <v>-18149.6306071364</v>
      </c>
      <c r="F33" s="32" t="n">
        <f aca="false">SQRT((($C$13/(3*$C$14))^3)+(E33^2)/4)</f>
        <v>14623.2901680408</v>
      </c>
      <c r="G33" s="33" t="n">
        <f aca="false">($H$5*$H$11)/($H$11+B33)</f>
        <v>576.039203003462</v>
      </c>
    </row>
    <row r="34" customFormat="false" ht="12.8" hidden="false" customHeight="false" outlineLevel="0" collapsed="false">
      <c r="B34" s="29" t="n">
        <f aca="false">=EXP(((F34-(E34/2))^(1/3))-((F34+(E34/2))^(1/3)))/1000</f>
        <v>54.2069994307547</v>
      </c>
      <c r="C34" s="30" t="n">
        <v>-15</v>
      </c>
      <c r="D34" s="8" t="n">
        <f aca="false">C34+273.15</f>
        <v>258.15</v>
      </c>
      <c r="E34" s="31" t="n">
        <f aca="false">(1/$C$14)*($C$12-(1/D34))</f>
        <v>-17924.2264268899</v>
      </c>
      <c r="F34" s="32" t="n">
        <f aca="false">SQRT((($C$13/(3*$C$14))^3)+(E34^2)/4)</f>
        <v>14553.6186495128</v>
      </c>
      <c r="G34" s="33" t="n">
        <f aca="false">($H$5*$H$11)/($H$11+B34)</f>
        <v>637.780932967648</v>
      </c>
    </row>
    <row r="35" customFormat="false" ht="12.8" hidden="false" customHeight="false" outlineLevel="0" collapsed="false">
      <c r="B35" s="29" t="n">
        <f aca="false">=EXP(((F35-(E35/2))^(1/3))-((F35+(E35/2))^(1/3)))/1000</f>
        <v>48.1874300208583</v>
      </c>
      <c r="C35" s="30" t="n">
        <v>-12.5</v>
      </c>
      <c r="D35" s="8" t="n">
        <f aca="false">C35+273.15</f>
        <v>260.65</v>
      </c>
      <c r="E35" s="31" t="n">
        <f aca="false">(1/$C$14)*($C$12-(1/D35))</f>
        <v>-17703.1461327022</v>
      </c>
      <c r="F35" s="32" t="n">
        <f aca="false">SQRT((($C$13/(3*$C$14))^3)+(E35^2)/4)</f>
        <v>14485.8098942998</v>
      </c>
      <c r="G35" s="33" t="n">
        <f aca="false">($H$5*$H$11)/($H$11+B35)</f>
        <v>703.760244872832</v>
      </c>
    </row>
    <row r="36" customFormat="false" ht="12.8" hidden="false" customHeight="false" outlineLevel="0" collapsed="false">
      <c r="B36" s="29" t="n">
        <f aca="false">=EXP(((F36-(E36/2))^(1/3))-((F36+(E36/2))^(1/3)))/1000</f>
        <v>42.9122070052531</v>
      </c>
      <c r="C36" s="30" t="n">
        <v>-10</v>
      </c>
      <c r="D36" s="8" t="n">
        <f aca="false">C36+273.15</f>
        <v>263.15</v>
      </c>
      <c r="E36" s="31" t="n">
        <f aca="false">(1/$C$14)*($C$12-(1/D36))</f>
        <v>-17486.2664901236</v>
      </c>
      <c r="F36" s="32" t="n">
        <f aca="false">SQRT((($C$13/(3*$C$14))^3)+(E36^2)/4)</f>
        <v>14419.8031014902</v>
      </c>
      <c r="G36" s="33" t="n">
        <f aca="false">($H$5*$H$11)/($H$11+B36)</f>
        <v>773.92349171779</v>
      </c>
    </row>
    <row r="37" customFormat="false" ht="12.8" hidden="false" customHeight="false" outlineLevel="0" collapsed="false">
      <c r="B37" s="29" t="n">
        <f aca="false">=EXP(((F37-(E37/2))^(1/3))-((F37+(E37/2))^(1/3)))/1000</f>
        <v>38.2807437624605</v>
      </c>
      <c r="C37" s="30" t="n">
        <v>-7.5</v>
      </c>
      <c r="D37" s="8" t="n">
        <f aca="false">C37+273.15</f>
        <v>265.65</v>
      </c>
      <c r="E37" s="31" t="n">
        <f aca="false">(1/$C$14)*($C$12-(1/D37))</f>
        <v>-17273.4689036824</v>
      </c>
      <c r="F37" s="32" t="n">
        <f aca="false">SQRT((($C$13/(3*$C$14))^3)+(E37^2)/4)</f>
        <v>14355.5398552775</v>
      </c>
      <c r="G37" s="33" t="n">
        <f aca="false">($H$5*$H$11)/($H$11+B37)</f>
        <v>848.16423295947</v>
      </c>
    </row>
    <row r="38" customFormat="false" ht="12.8" hidden="false" customHeight="false" outlineLevel="0" collapsed="false">
      <c r="B38" s="29" t="n">
        <f aca="false">=EXP(((F38-(E38/2))^(1/3))-((F38+(E38/2))^(1/3)))/1000</f>
        <v>34.2071192549271</v>
      </c>
      <c r="C38" s="30" t="n">
        <v>-5</v>
      </c>
      <c r="D38" s="8" t="n">
        <f aca="false">C38+273.15</f>
        <v>268.15</v>
      </c>
      <c r="E38" s="31" t="n">
        <f aca="false">(1/$C$14)*($C$12-(1/D38))</f>
        <v>-17064.6392006355</v>
      </c>
      <c r="F38" s="32" t="n">
        <f aca="false">SQRT((($C$13/(3*$C$14))^3)+(E38^2)/4)</f>
        <v>14292.9640140458</v>
      </c>
      <c r="G38" s="33" t="n">
        <f aca="false">($H$5*$H$11)/($H$11+B38)</f>
        <v>926.321386468446</v>
      </c>
    </row>
    <row r="39" customFormat="false" ht="12.8" hidden="false" customHeight="false" outlineLevel="0" collapsed="false">
      <c r="B39" s="29" t="n">
        <f aca="false">=EXP(((F39-(E39/2))^(1/3))-((F39+(E39/2))^(1/3)))/1000</f>
        <v>30.6177926257303</v>
      </c>
      <c r="C39" s="30" t="n">
        <v>-2.5</v>
      </c>
      <c r="D39" s="8" t="n">
        <f aca="false">C39+273.15</f>
        <v>270.65</v>
      </c>
      <c r="E39" s="31" t="n">
        <f aca="false">(1/$C$14)*($C$12-(1/D39))</f>
        <v>-16859.6674267047</v>
      </c>
      <c r="F39" s="32" t="n">
        <f aca="false">SQRT((($C$13/(3*$C$14))^3)+(E39^2)/4)</f>
        <v>14232.0216055068</v>
      </c>
      <c r="G39" s="33" t="n">
        <f aca="false">($H$5*$H$11)/($H$11+B39)</f>
        <v>1008.17886332058</v>
      </c>
    </row>
    <row r="40" customFormat="false" ht="12.8" hidden="false" customHeight="false" outlineLevel="0" collapsed="false">
      <c r="B40" s="29" t="n">
        <f aca="false">=EXP(((F40-(E40/2))^(1/3))-((F40+(E40/2))^(1/3)))/1000</f>
        <v>27.4496956946363</v>
      </c>
      <c r="C40" s="30" t="n">
        <v>0</v>
      </c>
      <c r="D40" s="8" t="n">
        <f aca="false">C40+273.15</f>
        <v>273.15</v>
      </c>
      <c r="E40" s="31" t="n">
        <f aca="false">(1/$C$14)*($C$12-(1/D40))</f>
        <v>-16658.4476530288</v>
      </c>
      <c r="F40" s="32" t="n">
        <f aca="false">SQRT((($C$13/(3*$C$14))^3)+(E40^2)/4)</f>
        <v>14172.6607275069</v>
      </c>
      <c r="G40" s="33" t="n">
        <f aca="false">($H$5*$H$11)/($H$11+B40)</f>
        <v>1093.46682904729</v>
      </c>
    </row>
    <row r="41" customFormat="false" ht="12.8" hidden="false" customHeight="false" outlineLevel="0" collapsed="false">
      <c r="B41" s="29" t="n">
        <f aca="false">=EXP(((F41-(E41/2))^(1/3))-((F41+(E41/2))^(1/3)))/1000</f>
        <v>24.6486374328385</v>
      </c>
      <c r="C41" s="30" t="n">
        <v>2.5</v>
      </c>
      <c r="D41" s="8" t="n">
        <f aca="false">C41+273.15</f>
        <v>275.65</v>
      </c>
      <c r="E41" s="31" t="n">
        <f aca="false">(1/$C$14)*($C$12-(1/D41))</f>
        <v>-16460.8777936224</v>
      </c>
      <c r="F41" s="32" t="n">
        <f aca="false">SQRT((($C$13/(3*$C$14))^3)+(E41^2)/4)</f>
        <v>14114.8314541472</v>
      </c>
      <c r="G41" s="33" t="n">
        <f aca="false">($H$5*$H$11)/($H$11+B41)</f>
        <v>1181.86465714202</v>
      </c>
    </row>
    <row r="42" customFormat="false" ht="12.8" hidden="false" customHeight="false" outlineLevel="0" collapsed="false">
      <c r="B42" s="29" t="n">
        <f aca="false">=EXP(((F42-(E42/2))^(1/3))-((F42+(E42/2))^(1/3)))/1000</f>
        <v>22.1679665693236</v>
      </c>
      <c r="C42" s="30" t="n">
        <v>5</v>
      </c>
      <c r="D42" s="8" t="n">
        <f aca="false">C42+273.15</f>
        <v>278.15</v>
      </c>
      <c r="E42" s="31" t="n">
        <f aca="false">(1/$C$14)*($C$12-(1/D42))</f>
        <v>-16266.8594326774</v>
      </c>
      <c r="F42" s="32" t="n">
        <f aca="false">SQRT((($C$13/(3*$C$14))^3)+(E42^2)/4)</f>
        <v>14058.4857468884</v>
      </c>
      <c r="G42" s="33" t="n">
        <f aca="false">($H$5*$H$11)/($H$11+B42)</f>
        <v>1273.00555077831</v>
      </c>
    </row>
    <row r="43" customFormat="false" ht="12.8" hidden="false" customHeight="false" outlineLevel="0" collapsed="false">
      <c r="B43" s="29" t="n">
        <f aca="false">=EXP(((F43-(E43/2))^(1/3))-((F43+(E43/2))^(1/3)))/1000</f>
        <v>19.9674482428277</v>
      </c>
      <c r="C43" s="30" t="n">
        <v>7.5</v>
      </c>
      <c r="D43" s="8" t="n">
        <f aca="false">C43+273.15</f>
        <v>280.65</v>
      </c>
      <c r="E43" s="31" t="n">
        <f aca="false">(1/$C$14)*($C$12-(1/D43))</f>
        <v>-16076.2976610953</v>
      </c>
      <c r="F43" s="32" t="n">
        <f aca="false">SQRT((($C$13/(3*$C$14))^3)+(E43^2)/4)</f>
        <v>14003.5773703321</v>
      </c>
      <c r="G43" s="33" t="n">
        <f aca="false">($H$5*$H$11)/($H$11+B43)</f>
        <v>1366.48271378264</v>
      </c>
    </row>
    <row r="44" customFormat="false" ht="12.8" hidden="false" customHeight="false" outlineLevel="0" collapsed="false">
      <c r="B44" s="29" t="n">
        <f aca="false">=EXP(((F44-(E44/2))^(1/3))-((F44+(E44/2))^(1/3)))/1000</f>
        <v>18.0123185234613</v>
      </c>
      <c r="C44" s="30" t="n">
        <v>10</v>
      </c>
      <c r="D44" s="8" t="n">
        <f aca="false">C44+273.15</f>
        <v>283.15</v>
      </c>
      <c r="E44" s="31" t="n">
        <f aca="false">(1/$C$14)*($C$12-(1/D44))</f>
        <v>-15889.1009216797</v>
      </c>
      <c r="F44" s="32" t="n">
        <f aca="false">SQRT((($C$13/(3*$C$14))^3)+(E44^2)/4)</f>
        <v>13950.0618123961</v>
      </c>
      <c r="G44" s="33" t="n">
        <f aca="false">($H$5*$H$11)/($H$11+B44)</f>
        <v>1461.85686007043</v>
      </c>
    </row>
    <row r="45" customFormat="false" ht="12.8" hidden="false" customHeight="false" outlineLevel="0" collapsed="false">
      <c r="B45" s="29" t="n">
        <f aca="false">=EXP(((F45-(E45/2))^(1/3))-((F45+(E45/2))^(1/3)))/1000</f>
        <v>16.2724870531581</v>
      </c>
      <c r="C45" s="30" t="n">
        <v>12.5</v>
      </c>
      <c r="D45" s="8" t="n">
        <f aca="false">C45+273.15</f>
        <v>285.65</v>
      </c>
      <c r="E45" s="31" t="n">
        <f aca="false">(1/$C$14)*($C$12-(1/D45))</f>
        <v>-15705.1808624569</v>
      </c>
      <c r="F45" s="32" t="n">
        <f aca="false">SQRT((($C$13/(3*$C$14))^3)+(E45^2)/4)</f>
        <v>13897.896208616</v>
      </c>
      <c r="G45" s="33" t="n">
        <f aca="false">($H$5*$H$11)/($H$11+B45)</f>
        <v>1558.66477037916</v>
      </c>
    </row>
    <row r="46" customFormat="false" ht="12.8" hidden="false" customHeight="false" outlineLevel="0" collapsed="false">
      <c r="B46" s="29" t="n">
        <f aca="false">=EXP(((F46-(E46/2))^(1/3))-((F46+(E46/2))^(1/3)))/1000</f>
        <v>14.7218632848931</v>
      </c>
      <c r="C46" s="30" t="n">
        <v>15</v>
      </c>
      <c r="D46" s="8" t="n">
        <f aca="false">C46+273.15</f>
        <v>288.15</v>
      </c>
      <c r="E46" s="31" t="n">
        <f aca="false">(1/$C$14)*($C$12-(1/D46))</f>
        <v>-15524.4521976332</v>
      </c>
      <c r="F46" s="32" t="n">
        <f aca="false">SQRT((($C$13/(3*$C$14))^3)+(E46^2)/4)</f>
        <v>13847.0392703275</v>
      </c>
      <c r="G46" s="33" t="n">
        <f aca="false">($H$5*$H$11)/($H$11+B46)</f>
        <v>1656.42854375882</v>
      </c>
    </row>
    <row r="47" customFormat="false" ht="12.8" hidden="false" customHeight="false" outlineLevel="0" collapsed="false">
      <c r="B47" s="29" t="n">
        <f aca="false">=EXP(((F47-(E47/2))^(1/3))-((F47+(E47/2))^(1/3)))/1000</f>
        <v>13.3377860686255</v>
      </c>
      <c r="C47" s="30" t="n">
        <v>17.5</v>
      </c>
      <c r="D47" s="8" t="n">
        <f aca="false">C47+273.15</f>
        <v>290.65</v>
      </c>
      <c r="E47" s="31" t="n">
        <f aca="false">(1/$C$14)*($C$12-(1/D47))</f>
        <v>-15346.8325757275</v>
      </c>
      <c r="F47" s="32" t="n">
        <f aca="false">SQRT((($C$13/(3*$C$14))^3)+(E47^2)/4)</f>
        <v>13797.4512164999</v>
      </c>
      <c r="G47" s="33" t="n">
        <f aca="false">($H$5*$H$11)/($H$11+B47)</f>
        <v>1754.66515459458</v>
      </c>
    </row>
    <row r="48" customFormat="false" ht="12.8" hidden="false" customHeight="false" outlineLevel="0" collapsed="false">
      <c r="B48" s="29" t="n">
        <f aca="false">=EXP(((F48-(E48/2))^(1/3))-((F48+(E48/2))^(1/3)))/1000</f>
        <v>12.1005398220401</v>
      </c>
      <c r="C48" s="30" t="n">
        <v>20</v>
      </c>
      <c r="D48" s="8" t="n">
        <f aca="false">C48+273.15</f>
        <v>293.15</v>
      </c>
      <c r="E48" s="31" t="n">
        <f aca="false">(1/$C$14)*($C$12-(1/D48))</f>
        <v>-15172.2424544513</v>
      </c>
      <c r="F48" s="32" t="n">
        <f aca="false">SQRT((($C$13/(3*$C$14))^3)+(E48^2)/4)</f>
        <v>13749.0937090052</v>
      </c>
      <c r="G48" s="33" t="n">
        <f aca="false">($H$5*$H$11)/($H$11+B48)</f>
        <v>1852.89591701113</v>
      </c>
    </row>
    <row r="49" customFormat="false" ht="12.8" hidden="false" customHeight="false" outlineLevel="0" collapsed="false">
      <c r="B49" s="29" t="n">
        <f aca="false">=EXP(((F49-(E49/2))^(1/3))-((F49+(E49/2))^(1/3)))/1000</f>
        <v>10.9929433843134</v>
      </c>
      <c r="C49" s="30" t="n">
        <v>22.5</v>
      </c>
      <c r="D49" s="8" t="n">
        <f aca="false">C49+273.15</f>
        <v>295.65</v>
      </c>
      <c r="E49" s="31" t="n">
        <f aca="false">(1/$C$14)*($C$12-(1/D49))</f>
        <v>-15000.6049819368</v>
      </c>
      <c r="F49" s="32" t="n">
        <f aca="false">SQRT((($C$13/(3*$C$14))^3)+(E49^2)/4)</f>
        <v>13701.9297911232</v>
      </c>
      <c r="G49" s="33" t="n">
        <f aca="false">($H$5*$H$11)/($H$11+B49)</f>
        <v>1950.65547743053</v>
      </c>
    </row>
    <row r="50" customFormat="false" ht="12.8" hidden="false" customHeight="false" outlineLevel="0" collapsed="false">
      <c r="B50" s="29" t="n">
        <f aca="false">=EXP(((F50-(E50/2))^(1/3))-((F50+(E50/2))^(1/3)))/1000</f>
        <v>9.99999999999997</v>
      </c>
      <c r="C50" s="30" t="n">
        <v>25</v>
      </c>
      <c r="D50" s="8" t="n">
        <f aca="false">C50+273.15</f>
        <v>298.15</v>
      </c>
      <c r="E50" s="31" t="n">
        <f aca="false">(1/$C$14)*($C$12-(1/D50))</f>
        <v>-14831.8458839403</v>
      </c>
      <c r="F50" s="32" t="n">
        <f aca="false">SQRT((($C$13/(3*$C$14))^3)+(E50^2)/4)</f>
        <v>13655.9238290963</v>
      </c>
      <c r="G50" s="33" t="n">
        <f aca="false">($H$5*$H$11)/($H$11+B50)</f>
        <v>2047.5</v>
      </c>
    </row>
    <row r="51" customFormat="false" ht="12.8" hidden="false" customHeight="false" outlineLevel="0" collapsed="false">
      <c r="B51" s="29" t="n">
        <f aca="false">=EXP(((F51-(E51/2))^(1/3))-((F51+(E51/2))^(1/3)))/1000</f>
        <v>9.10859881312521</v>
      </c>
      <c r="C51" s="30" t="n">
        <v>27.5</v>
      </c>
      <c r="D51" s="8" t="n">
        <f aca="false">C51+273.15</f>
        <v>300.65</v>
      </c>
      <c r="E51" s="31" t="n">
        <f aca="false">(1/$C$14)*($C$12-(1/D51))</f>
        <v>-14665.8933566739</v>
      </c>
      <c r="F51" s="32" t="n">
        <f aca="false">SQRT((($C$13/(3*$C$14))^3)+(E51^2)/4)</f>
        <v>13611.0414565592</v>
      </c>
      <c r="G51" s="33" t="n">
        <f aca="false">($H$5*$H$11)/($H$11+B51)</f>
        <v>2143.01427333712</v>
      </c>
    </row>
    <row r="52" customFormat="false" ht="12.8" hidden="false" customHeight="false" outlineLevel="0" collapsed="false">
      <c r="B52" s="29" t="n">
        <f aca="false">=EXP(((F52-(E52/2))^(1/3))-((F52+(E52/2))^(1/3)))/1000</f>
        <v>8.30725984557346</v>
      </c>
      <c r="C52" s="30" t="n">
        <v>30</v>
      </c>
      <c r="D52" s="8" t="n">
        <f aca="false">C52+273.15</f>
        <v>303.15</v>
      </c>
      <c r="E52" s="31" t="n">
        <f aca="false">(1/$C$14)*($C$12-(1/D52))</f>
        <v>-14502.6779649388</v>
      </c>
      <c r="F52" s="32" t="n">
        <f aca="false">SQRT((($C$13/(3*$C$14))^3)+(E52^2)/4)</f>
        <v>13567.2495216799</v>
      </c>
      <c r="G52" s="33" t="n">
        <f aca="false">($H$5*$H$11)/($H$11+B52)</f>
        <v>2236.81754371894</v>
      </c>
    </row>
    <row r="53" customFormat="false" ht="12.8" hidden="false" customHeight="false" outlineLevel="0" collapsed="false">
      <c r="B53" s="29" t="n">
        <f aca="false">=EXP(((F53-(E53/2))^(1/3))-((F53+(E53/2))^(1/3)))/1000</f>
        <v>7.58591575095079</v>
      </c>
      <c r="C53" s="30" t="n">
        <v>32.5</v>
      </c>
      <c r="D53" s="8" t="n">
        <f aca="false">C53+273.15</f>
        <v>305.65</v>
      </c>
      <c r="E53" s="31" t="n">
        <f aca="false">(1/$C$14)*($C$12-(1/D53))</f>
        <v>-14342.1325452589</v>
      </c>
      <c r="F53" s="32" t="n">
        <f aca="false">SQRT((($C$13/(3*$C$14))^3)+(E53^2)/4)</f>
        <v>13524.5160368601</v>
      </c>
      <c r="G53" s="33" t="n">
        <f aca="false">($H$5*$H$11)/($H$11+B53)</f>
        <v>2328.56796199459</v>
      </c>
    </row>
    <row r="54" customFormat="false" ht="12.8" hidden="false" customHeight="false" outlineLevel="0" collapsed="false">
      <c r="B54" s="29" t="n">
        <f aca="false">=EXP(((F54-(E54/2))^(1/3))-((F54+(E54/2))^(1/3)))/1000</f>
        <v>6.93572472553855</v>
      </c>
      <c r="C54" s="30" t="n">
        <v>35</v>
      </c>
      <c r="D54" s="8" t="n">
        <f aca="false">C54+273.15</f>
        <v>308.15</v>
      </c>
      <c r="E54" s="31" t="n">
        <f aca="false">(1/$C$14)*($C$12-(1/D54))</f>
        <v>-14184.192113729</v>
      </c>
      <c r="F54" s="32" t="n">
        <f aca="false">SQRT((($C$13/(3*$C$14))^3)+(E54^2)/4)</f>
        <v>13482.8101308531</v>
      </c>
      <c r="G54" s="33" t="n">
        <f aca="false">($H$5*$H$11)/($H$11+B54)</f>
        <v>2417.9656119616</v>
      </c>
    </row>
    <row r="55" customFormat="false" ht="12.8" hidden="false" customHeight="false" outlineLevel="0" collapsed="false">
      <c r="B55" s="29" t="n">
        <f aca="false">=EXP(((F55-(E55/2))^(1/3))-((F55+(E55/2))^(1/3)))/1000</f>
        <v>6.34890986248449</v>
      </c>
      <c r="C55" s="30" t="n">
        <v>37.5</v>
      </c>
      <c r="D55" s="8" t="n">
        <f aca="false">C55+273.15</f>
        <v>310.65</v>
      </c>
      <c r="E55" s="31" t="n">
        <f aca="false">(1/$C$14)*($C$12-(1/D55))</f>
        <v>-14028.7937783126</v>
      </c>
      <c r="F55" s="32" t="n">
        <f aca="false">SQRT((($C$13/(3*$C$14))^3)+(E55^2)/4)</f>
        <v>13442.1020031633</v>
      </c>
      <c r="G55" s="33" t="n">
        <f aca="false">($H$5*$H$11)/($H$11+B55)</f>
        <v>2504.75416064083</v>
      </c>
    </row>
    <row r="56" customFormat="false" ht="12.8" hidden="false" customHeight="false" outlineLevel="0" collapsed="false">
      <c r="B56" s="29" t="n">
        <f aca="false">=EXP(((F56-(E56/2))^(1/3))-((F56+(E56/2))^(1/3)))/1000</f>
        <v>5.81862098712503</v>
      </c>
      <c r="C56" s="30" t="n">
        <v>40</v>
      </c>
      <c r="D56" s="8" t="n">
        <f aca="false">C56+273.15</f>
        <v>313.15</v>
      </c>
      <c r="E56" s="31" t="n">
        <f aca="false">(1/$C$14)*($C$12-(1/D56))</f>
        <v>-13875.8766553409</v>
      </c>
      <c r="F56" s="32" t="n">
        <f aca="false">SQRT((($C$13/(3*$C$14))^3)+(E56^2)/4)</f>
        <v>13402.3628806043</v>
      </c>
      <c r="G56" s="33" t="n">
        <f aca="false">($H$5*$H$11)/($H$11+B56)</f>
        <v>2588.72123134689</v>
      </c>
    </row>
    <row r="57" customFormat="false" ht="12.8" hidden="false" customHeight="false" outlineLevel="0" collapsed="false">
      <c r="B57" s="29" t="n">
        <f aca="false">=EXP(((F57-(E57/2))^(1/3))-((F57+(E57/2))^(1/3)))/1000</f>
        <v>5.3388156372713</v>
      </c>
      <c r="C57" s="30" t="n">
        <v>42.5</v>
      </c>
      <c r="D57" s="8" t="n">
        <f aca="false">C57+273.15</f>
        <v>315.65</v>
      </c>
      <c r="E57" s="31" t="n">
        <f aca="false">(1/$C$14)*($C$12-(1/D57))</f>
        <v>-13725.38178998</v>
      </c>
      <c r="F57" s="32" t="n">
        <f aca="false">SQRT((($C$13/(3*$C$14))^3)+(E57^2)/4)</f>
        <v>13363.564975897</v>
      </c>
      <c r="G57" s="33" t="n">
        <f aca="false">($H$5*$H$11)/($H$11+B57)</f>
        <v>2669.69764604882</v>
      </c>
    </row>
    <row r="58" customFormat="false" ht="12.8" hidden="false" customHeight="false" outlineLevel="0" collapsed="false">
      <c r="B58" s="29" t="n">
        <f aca="false">=EXP(((F58-(E58/2))^(1/3))-((F58+(E58/2))^(1/3)))/1000</f>
        <v>4.90415637443343</v>
      </c>
      <c r="C58" s="30" t="n">
        <v>45</v>
      </c>
      <c r="D58" s="8" t="n">
        <f aca="false">C58+273.15</f>
        <v>318.15</v>
      </c>
      <c r="E58" s="31" t="n">
        <f aca="false">(1/$C$14)*($C$12-(1/D58))</f>
        <v>-13577.2520804476</v>
      </c>
      <c r="F58" s="32" t="n">
        <f aca="false">SQRT((($C$13/(3*$C$14))^3)+(E58^2)/4)</f>
        <v>13325.6814481979</v>
      </c>
      <c r="G58" s="33" t="n">
        <f aca="false">($H$5*$H$11)/($H$11+B58)</f>
        <v>2747.55571340123</v>
      </c>
    </row>
    <row r="59" customFormat="false" ht="12.8" hidden="false" customHeight="false" outlineLevel="0" collapsed="false">
      <c r="B59" s="29" t="n">
        <f aca="false">=EXP(((F59-(E59/2))^(1/3))-((F59+(E59/2))^(1/3)))/1000</f>
        <v>4.5099220483006</v>
      </c>
      <c r="C59" s="30" t="n">
        <v>47.5</v>
      </c>
      <c r="D59" s="8" t="n">
        <f aca="false">C59+273.15</f>
        <v>320.65</v>
      </c>
      <c r="E59" s="31" t="n">
        <f aca="false">(1/$C$14)*($C$12-(1/D59))</f>
        <v>-13431.4322057745</v>
      </c>
      <c r="F59" s="32" t="n">
        <f aca="false">SQRT((($C$13/(3*$C$14))^3)+(E59^2)/4)</f>
        <v>13288.6863654547</v>
      </c>
      <c r="G59" s="33" t="n">
        <f aca="false">($H$5*$H$11)/($H$11+B59)</f>
        <v>2822.20675367419</v>
      </c>
    </row>
    <row r="60" customFormat="false" ht="12.8" hidden="false" customHeight="false" outlineLevel="0" collapsed="false">
      <c r="B60" s="29" t="n">
        <f aca="false">=EXP(((F60-(E60/2))^(1/3))-((F60+(E60/2))^(1/3)))/1000</f>
        <v>4.15193100208631</v>
      </c>
      <c r="C60" s="30" t="n">
        <v>50</v>
      </c>
      <c r="D60" s="8" t="n">
        <f aca="false">C60+273.15</f>
        <v>323.15</v>
      </c>
      <c r="E60" s="31" t="n">
        <f aca="false">(1/$C$14)*($C$12-(1/D60))</f>
        <v>-13287.8685569203</v>
      </c>
      <c r="F60" s="32" t="n">
        <f aca="false">SQRT((($C$13/(3*$C$14))^3)+(E60^2)/4)</f>
        <v>13252.5546684909</v>
      </c>
      <c r="G60" s="33" t="n">
        <f aca="false">($H$5*$H$11)/($H$11+B60)</f>
        <v>2893.59805343617</v>
      </c>
    </row>
    <row r="61" customFormat="false" ht="12.8" hidden="false" customHeight="false" outlineLevel="0" collapsed="false">
      <c r="B61" s="29" t="n">
        <f aca="false">=EXP(((F61-(E61/2))^(1/3))-((F61+(E61/2))^(1/3)))/1000</f>
        <v>3.82647451269007</v>
      </c>
      <c r="C61" s="30" t="n">
        <v>52.5</v>
      </c>
      <c r="D61" s="8" t="n">
        <f aca="false">C61+273.15</f>
        <v>325.65</v>
      </c>
      <c r="E61" s="31" t="n">
        <f aca="false">(1/$C$14)*($C$12-(1/D61))</f>
        <v>-13146.5091710609</v>
      </c>
      <c r="F61" s="32" t="n">
        <f aca="false">SQRT((($C$13/(3*$C$14))^3)+(E61^2)/4)</f>
        <v>13217.2621367301</v>
      </c>
      <c r="G61" s="33" t="n">
        <f aca="false">($H$5*$H$11)/($H$11+B61)</f>
        <v>2961.70943376894</v>
      </c>
    </row>
    <row r="62" customFormat="false" ht="12.8" hidden="false" customHeight="false" outlineLevel="0" collapsed="false">
      <c r="B62" s="29" t="n">
        <f aca="false">=EXP(((F62-(E62/2))^(1/3))-((F62+(E62/2))^(1/3)))/1000</f>
        <v>3.53025901697394</v>
      </c>
      <c r="C62" s="30" t="n">
        <v>55</v>
      </c>
      <c r="D62" s="8" t="n">
        <f aca="false">C62+273.15</f>
        <v>328.15</v>
      </c>
      <c r="E62" s="31" t="n">
        <f aca="false">(1/$C$14)*($C$12-(1/D62))</f>
        <v>-13007.3036688807</v>
      </c>
      <c r="F62" s="32" t="n">
        <f aca="false">SQRT((($C$13/(3*$C$14))^3)+(E62^2)/4)</f>
        <v>13182.7853554725</v>
      </c>
      <c r="G62" s="33" t="n">
        <f aca="false">($H$5*$H$11)/($H$11+B62)</f>
        <v>3026.54959883824</v>
      </c>
    </row>
    <row r="63" customFormat="false" ht="12.8" hidden="false" customHeight="false" outlineLevel="0" collapsed="false">
      <c r="B63" s="29" t="n">
        <f aca="false">=EXP(((F63-(E63/2))^(1/3))-((F63+(E63/2))^(1/3)))/1000</f>
        <v>3.26035589200506</v>
      </c>
      <c r="C63" s="30" t="n">
        <v>57.5</v>
      </c>
      <c r="D63" s="8" t="n">
        <f aca="false">C63+273.15</f>
        <v>330.65</v>
      </c>
      <c r="E63" s="31" t="n">
        <f aca="false">(1/$C$14)*($C$12-(1/D63))</f>
        <v>-12870.2031947086</v>
      </c>
      <c r="F63" s="32" t="n">
        <f aca="false">SQRT((($C$13/(3*$C$14))^3)+(E63^2)/4)</f>
        <v>13149.1016846442</v>
      </c>
      <c r="G63" s="33" t="n">
        <f aca="false">($H$5*$H$11)/($H$11+B63)</f>
        <v>3088.15240959631</v>
      </c>
    </row>
    <row r="64" customFormat="false" ht="12.8" hidden="false" customHeight="false" outlineLevel="0" collapsed="false">
      <c r="B64" s="29" t="n">
        <f aca="false">=EXP(((F64-(E64/2))^(1/3))-((F64+(E64/2))^(1/3)))/1000</f>
        <v>3.01415773964355</v>
      </c>
      <c r="C64" s="30" t="n">
        <v>60</v>
      </c>
      <c r="D64" s="8" t="n">
        <f aca="false">C64+273.15</f>
        <v>333.15</v>
      </c>
      <c r="E64" s="31" t="n">
        <f aca="false">(1/$C$14)*($C$12-(1/D64))</f>
        <v>-12735.1603593504</v>
      </c>
      <c r="F64" s="32" t="n">
        <f aca="false">SQRT((($C$13/(3*$C$14))^3)+(E64^2)/4)</f>
        <v>13116.1892289428</v>
      </c>
      <c r="G64" s="33" t="n">
        <f aca="false">($H$5*$H$11)/($H$11+B64)</f>
        <v>3146.57320275585</v>
      </c>
    </row>
    <row r="65" customFormat="false" ht="12.8" hidden="false" customHeight="false" outlineLevel="0" collapsed="false">
      <c r="B65" s="29" t="n">
        <f aca="false">=EXP(((F65-(E65/2))^(1/3))-((F65+(E65/2))^(1/3)))/1000</f>
        <v>2.78934027995385</v>
      </c>
      <c r="C65" s="30" t="n">
        <v>62.5</v>
      </c>
      <c r="D65" s="8" t="n">
        <f aca="false">C65+273.15</f>
        <v>335.65</v>
      </c>
      <c r="E65" s="31" t="n">
        <f aca="false">(1/$C$14)*($C$12-(1/D65))</f>
        <v>-12602.1291854753</v>
      </c>
      <c r="F65" s="32" t="n">
        <f aca="false">SQRT((($C$13/(3*$C$14))^3)+(E65^2)/4)</f>
        <v>13084.0268093081</v>
      </c>
      <c r="G65" s="33" t="n">
        <f aca="false">($H$5*$H$11)/($H$11+B65)</f>
        <v>3201.8852500301</v>
      </c>
    </row>
    <row r="66" customFormat="false" ht="12.8" hidden="false" customHeight="false" outlineLevel="0" collapsed="false">
      <c r="B66" s="29" t="n">
        <f aca="false">=EXP(((F66-(E66/2))^(1/3))-((F66+(E66/2))^(1/3)))/1000</f>
        <v>2.58382908822722</v>
      </c>
      <c r="C66" s="30" t="n">
        <v>65</v>
      </c>
      <c r="D66" s="8" t="n">
        <f aca="false">C66+273.15</f>
        <v>338.15</v>
      </c>
      <c r="E66" s="31" t="n">
        <f aca="false">(1/$C$14)*($C$12-(1/D66))</f>
        <v>-12471.0650554251</v>
      </c>
      <c r="F66" s="32" t="n">
        <f aca="false">SQRT((($C$13/(3*$C$14))^3)+(E66^2)/4)</f>
        <v>13052.5939356514</v>
      </c>
      <c r="G66" s="33" t="n">
        <f aca="false">($H$5*$H$11)/($H$11+B66)</f>
        <v>3254.17642856503</v>
      </c>
    </row>
    <row r="67" customFormat="false" ht="12.8" hidden="false" customHeight="false" outlineLevel="0" collapsed="false">
      <c r="B67" s="29" t="n">
        <f aca="false">=EXP(((F67-(E67/2))^(1/3))-((F67+(E67/2))^(1/3)))/1000</f>
        <v>2.39577052076631</v>
      </c>
      <c r="C67" s="30" t="n">
        <v>67.5</v>
      </c>
      <c r="D67" s="8" t="n">
        <f aca="false">C67+273.15</f>
        <v>340.65</v>
      </c>
      <c r="E67" s="31" t="n">
        <f aca="false">(1/$C$14)*($C$12-(1/D67))</f>
        <v>-12341.9246613215</v>
      </c>
      <c r="F67" s="32" t="n">
        <f aca="false">SQRT((($C$13/(3*$C$14))^3)+(E67^2)/4)</f>
        <v>13021.8707807778</v>
      </c>
      <c r="G67" s="33" t="n">
        <f aca="false">($H$5*$H$11)/($H$11+B67)</f>
        <v>3303.54615160046</v>
      </c>
    </row>
    <row r="68" customFormat="false" ht="12.8" hidden="false" customHeight="false" outlineLevel="0" collapsed="false">
      <c r="B68" s="29" t="n">
        <f aca="false">=EXP(((F68-(E68/2))^(1/3))-((F68+(E68/2))^(1/3)))/1000</f>
        <v>2.22350626820139</v>
      </c>
      <c r="C68" s="30" t="n">
        <v>70</v>
      </c>
      <c r="D68" s="8" t="n">
        <f aca="false">C68+273.15</f>
        <v>343.15</v>
      </c>
      <c r="E68" s="31" t="n">
        <f aca="false">(1/$C$14)*($C$12-(1/D68))</f>
        <v>-12214.665957355</v>
      </c>
      <c r="F68" s="32" t="n">
        <f aca="false">SQRT((($C$13/(3*$C$14))^3)+(E68^2)/4)</f>
        <v>12991.8381554453</v>
      </c>
      <c r="G68" s="33" t="n">
        <f aca="false">($H$5*$H$11)/($H$11+B68)</f>
        <v>3350.10258934694</v>
      </c>
    </row>
    <row r="69" customFormat="false" ht="12.8" hidden="false" customHeight="false" outlineLevel="0" collapsed="false">
      <c r="B69" s="29" t="n">
        <f aca="false">=EXP(((F69-(E69/2))^(1/3))-((F69+(E69/2))^(1/3)))/1000</f>
        <v>2.06555105464171</v>
      </c>
      <c r="C69" s="30" t="n">
        <v>72.5</v>
      </c>
      <c r="D69" s="8" t="n">
        <f aca="false">C69+273.15</f>
        <v>345.65</v>
      </c>
      <c r="E69" s="31" t="n">
        <f aca="false">(1/$C$14)*($C$12-(1/D69))</f>
        <v>-12089.2481141431</v>
      </c>
      <c r="F69" s="32" t="n">
        <f aca="false">SQRT((($C$13/(3*$C$14))^3)+(E69^2)/4)</f>
        <v>12962.4774845</v>
      </c>
      <c r="G69" s="33" t="n">
        <f aca="false">($H$5*$H$11)/($H$11+B69)</f>
        <v>3393.9601941551</v>
      </c>
    </row>
    <row r="70" customFormat="false" ht="12.8" hidden="false" customHeight="false" outlineLevel="0" collapsed="false">
      <c r="B70" s="29" t="n">
        <f aca="false">=EXP(((F70-(E70/2))^(1/3))-((F70+(E70/2))^(1/3)))/1000</f>
        <v>1.92057306863637</v>
      </c>
      <c r="C70" s="30" t="n">
        <v>75</v>
      </c>
      <c r="D70" s="8" t="n">
        <f aca="false">C70+273.15</f>
        <v>348.15</v>
      </c>
      <c r="E70" s="31" t="n">
        <f aca="false">(1/$C$14)*($C$12-(1/D70))</f>
        <v>-11965.6314750561</v>
      </c>
      <c r="F70" s="32" t="n">
        <f aca="false">SQRT((($C$13/(3*$C$14))^3)+(E70^2)/4)</f>
        <v>12933.7707840388</v>
      </c>
      <c r="G70" s="33" t="n">
        <f aca="false">($H$5*$H$11)/($H$11+B70)</f>
        <v>3435.23753130137</v>
      </c>
    </row>
    <row r="71" customFormat="false" ht="12.8" hidden="false" customHeight="false" outlineLevel="0" collapsed="false">
      <c r="B71" s="29" t="n">
        <f aca="false">=EXP(((F71-(E71/2))^(1/3))-((F71+(E71/2))^(1/3)))/1000</f>
        <v>1.78737676958191</v>
      </c>
      <c r="C71" s="30" t="n">
        <v>77.5</v>
      </c>
      <c r="D71" s="8" t="n">
        <f aca="false">C71+273.15</f>
        <v>350.65</v>
      </c>
      <c r="E71" s="31" t="n">
        <f aca="false">(1/$C$14)*($C$12-(1/D71))</f>
        <v>-11843.7775144103</v>
      </c>
      <c r="F71" s="32" t="n">
        <f aca="false">SQRT((($C$13/(3*$C$14))^3)+(E71^2)/4)</f>
        <v>12905.7006395451</v>
      </c>
      <c r="G71" s="33" t="n">
        <f aca="false">($H$5*$H$11)/($H$11+B71)</f>
        <v>3474.05540693958</v>
      </c>
    </row>
    <row r="72" customFormat="false" ht="12.8" hidden="false" customHeight="false" outlineLevel="0" collapsed="false">
      <c r="B72" s="29" t="n">
        <f aca="false">=EXP(((F72-(E72/2))^(1/3))-((F72+(E72/2))^(1/3)))/1000</f>
        <v>1.6648877624199</v>
      </c>
      <c r="C72" s="30" t="n">
        <v>80</v>
      </c>
      <c r="D72" s="8" t="n">
        <f aca="false">C72+273.15</f>
        <v>353.15</v>
      </c>
      <c r="E72" s="31" t="n">
        <f aca="false">(1/$C$14)*($C$12-(1/D72))</f>
        <v>-11723.6487974378</v>
      </c>
      <c r="F72" s="32" t="n">
        <f aca="false">SQRT((($C$13/(3*$C$14))^3)+(E72^2)/4)</f>
        <v>12878.2501849536</v>
      </c>
      <c r="G72" s="33" t="n">
        <f aca="false">($H$5*$H$11)/($H$11+B72)</f>
        <v>3510.5352776669</v>
      </c>
    </row>
    <row r="73" customFormat="false" ht="12.8" hidden="false" customHeight="false" outlineLevel="0" collapsed="false">
      <c r="B73" s="29" t="n">
        <f aca="false">=EXP(((F73-(E73/2))^(1/3))-((F73+(E73/2))^(1/3)))/1000</f>
        <v>1.55213947551754</v>
      </c>
      <c r="C73" s="30" t="n">
        <v>82.5</v>
      </c>
      <c r="D73" s="8" t="n">
        <f aca="false">C73+273.15</f>
        <v>355.65</v>
      </c>
      <c r="E73" s="31" t="n">
        <f aca="false">(1/$C$14)*($C$12-(1/D73))</f>
        <v>-11605.208941944</v>
      </c>
      <c r="F73" s="32" t="n">
        <f aca="false">SQRT((($C$13/(3*$C$14))^3)+(E73^2)/4)</f>
        <v>12851.4030825971</v>
      </c>
      <c r="G73" s="33" t="n">
        <f aca="false">($H$5*$H$11)/($H$11+B73)</f>
        <v>3544.79792135348</v>
      </c>
    </row>
    <row r="74" customFormat="false" ht="12.8" hidden="false" customHeight="false" outlineLevel="0" collapsed="false">
      <c r="B74" s="29" t="n">
        <f aca="false">=EXP(((F74-(E74/2))^(1/3))-((F74+(E74/2))^(1/3)))/1000</f>
        <v>1.44826141261082</v>
      </c>
      <c r="C74" s="30" t="n">
        <v>85</v>
      </c>
      <c r="D74" s="8" t="n">
        <f aca="false">C74+273.15</f>
        <v>358.15</v>
      </c>
      <c r="E74" s="31" t="n">
        <f aca="false">(1/$C$14)*($C$12-(1/D74))</f>
        <v>-11488.4225815708</v>
      </c>
      <c r="F74" s="32" t="n">
        <f aca="false">SQRT((($C$13/(3*$C$14))^3)+(E74^2)/4)</f>
        <v>12825.1435039936</v>
      </c>
      <c r="G74" s="33" t="n">
        <f aca="false">($H$5*$H$11)/($H$11+B74)</f>
        <v>3576.96234599357</v>
      </c>
    </row>
    <row r="75" customFormat="false" ht="12.8" hidden="false" customHeight="false" outlineLevel="0" collapsed="false">
      <c r="B75" s="29" t="n">
        <f aca="false">=EXP(((F75-(E75/2))^(1/3))-((F75+(E75/2))^(1/3)))/1000</f>
        <v>1.35246878052752</v>
      </c>
      <c r="C75" s="30" t="n">
        <v>87.5</v>
      </c>
      <c r="D75" s="8" t="n">
        <f aca="false">C75+273.15</f>
        <v>360.65</v>
      </c>
      <c r="E75" s="31" t="n">
        <f aca="false">(1/$C$14)*($C$12-(1/D75))</f>
        <v>-11373.2553305886</v>
      </c>
      <c r="F75" s="32" t="n">
        <f aca="false">SQRT((($C$13/(3*$C$14))^3)+(E75^2)/4)</f>
        <v>12799.4561114343</v>
      </c>
      <c r="G75" s="33" t="n">
        <f aca="false">($H$5*$H$11)/($H$11+B75)</f>
        <v>3607.14491197193</v>
      </c>
    </row>
    <row r="76" customFormat="false" ht="12.8" hidden="false" customHeight="false" outlineLevel="0" collapsed="false">
      <c r="B76" s="29" t="n">
        <f aca="false">=EXP(((F76-(E76/2))^(1/3))-((F76+(E76/2))^(1/3)))/1000</f>
        <v>1.26405332087242</v>
      </c>
      <c r="C76" s="30" t="n">
        <v>90</v>
      </c>
      <c r="D76" s="8" t="n">
        <f aca="false">C76+273.15</f>
        <v>363.15</v>
      </c>
      <c r="E76" s="31" t="n">
        <f aca="false">(1/$C$14)*($C$12-(1/D76))</f>
        <v>-11259.6737501417</v>
      </c>
      <c r="F76" s="32" t="n">
        <f aca="false">SQRT((($C$13/(3*$C$14))^3)+(E76^2)/4)</f>
        <v>12774.3260403338</v>
      </c>
      <c r="G76" s="33" t="n">
        <f aca="false">($H$5*$H$11)/($H$11+B76)</f>
        <v>3635.45864294864</v>
      </c>
    </row>
    <row r="77" customFormat="false" ht="12.8" hidden="false" customHeight="false" outlineLevel="0" collapsed="false">
      <c r="B77" s="29" t="n">
        <f aca="false">=EXP(((F77-(E77/2))^(1/3))-((F77+(E77/2))^(1/3)))/1000</f>
        <v>1.18237519659723</v>
      </c>
      <c r="C77" s="30" t="n">
        <v>92.5</v>
      </c>
      <c r="D77" s="8" t="n">
        <f aca="false">C77+273.15</f>
        <v>365.65</v>
      </c>
      <c r="E77" s="31" t="n">
        <f aca="false">(1/$C$14)*($C$12-(1/D77))</f>
        <v>-11147.645315879</v>
      </c>
      <c r="F77" s="32" t="n">
        <f aca="false">SQRT((($C$13/(3*$C$14))^3)+(E77^2)/4)</f>
        <v>12749.7388823066</v>
      </c>
      <c r="G77" s="33" t="n">
        <f aca="false">($H$5*$H$11)/($H$11+B77)</f>
        <v>3662.01270124267</v>
      </c>
    </row>
    <row r="78" customFormat="false" ht="12.8" hidden="false" customHeight="false" outlineLevel="0" collapsed="false">
      <c r="B78" s="29" t="n">
        <f aca="false">=EXP(((F78-(E78/2))^(1/3))-((F78+(E78/2))^(1/3)))/1000</f>
        <v>1.10685580394599</v>
      </c>
      <c r="C78" s="30" t="n">
        <v>95</v>
      </c>
      <c r="D78" s="8" t="n">
        <f aca="false">C78+273.15</f>
        <v>368.15</v>
      </c>
      <c r="E78" s="31" t="n">
        <f aca="false">(1/$C$14)*($C$12-(1/D78))</f>
        <v>-11037.1383869031</v>
      </c>
      <c r="F78" s="32" t="n">
        <f aca="false">SQRT((($C$13/(3*$C$14))^3)+(E78^2)/4)</f>
        <v>12725.6806689369</v>
      </c>
      <c r="G78" s="33" t="n">
        <f aca="false">($H$5*$H$11)/($H$11+B78)</f>
        <v>3686.91200487644</v>
      </c>
    </row>
    <row r="79" customFormat="false" ht="12.8" hidden="false" customHeight="false" outlineLevel="0" collapsed="false">
      <c r="B79" s="29" t="n">
        <f aca="false">=EXP(((F79-(E79/2))^(1/3))-((F79+(E79/2))^(1/3)))/1000</f>
        <v>1.03697139712457</v>
      </c>
      <c r="C79" s="30" t="n">
        <v>97.5</v>
      </c>
      <c r="D79" s="8" t="n">
        <f aca="false">C79+273.15</f>
        <v>370.65</v>
      </c>
      <c r="E79" s="31" t="n">
        <f aca="false">(1/$C$14)*($C$12-(1/D79))</f>
        <v>-10928.1221759762</v>
      </c>
      <c r="F79" s="32" t="n">
        <f aca="false">SQRT((($C$13/(3*$C$14))^3)+(E79^2)/4)</f>
        <v>12702.1378562078</v>
      </c>
      <c r="G79" s="33" t="n">
        <f aca="false">($H$5*$H$11)/($H$11+B79)</f>
        <v>3710.25696511895</v>
      </c>
    </row>
    <row r="80" customFormat="false" ht="12.8" hidden="false" customHeight="false" outlineLevel="0" collapsed="false">
      <c r="B80" s="34" t="n">
        <f aca="false">=EXP(((F80-(E80/2))^(1/3))-((F80+(E80/2))^(1/3)))/1000</f>
        <v>0.972247427587852</v>
      </c>
      <c r="C80" s="35" t="n">
        <v>100</v>
      </c>
      <c r="D80" s="10" t="n">
        <f aca="false">C80+273.15</f>
        <v>373.15</v>
      </c>
      <c r="E80" s="36" t="n">
        <f aca="false">(1/$C$14)*($C$12-(1/D80))</f>
        <v>-10820.5667209239</v>
      </c>
      <c r="F80" s="37" t="n">
        <f aca="false">SQRT((($C$13/(3*$C$14))^3)+(E80^2)/4)</f>
        <v>12679.0973095616</v>
      </c>
      <c r="G80" s="38" t="n">
        <f aca="false">($H$5*$H$11)/($H$11+B80)</f>
        <v>3732.14332526244</v>
      </c>
    </row>
  </sheetData>
  <mergeCells count="2">
    <mergeCell ref="C22:D22"/>
    <mergeCell ref="E22:F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2025-11-10T11:24:47Z</dcterms:created>
  <dc:creator/>
  <dc:description/>
  <dc:language>en-CA</dc:language>
  <cp:lastModifiedBy/>
  <dcterms:modified xsi:type="dcterms:W3CDTF">2025-11-10T13:23:24Z</dcterms:modified>
  <cp:revision>4</cp:revision>
  <dc:subject/>
  <dc:title/>
</cp:coreProperties>
</file>